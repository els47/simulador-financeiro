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D056C08C-4687-44D6-9376-17D58A3D09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ulador_Financeiro" sheetId="1" r:id="rId1"/>
    <sheet name="Perfil_Investidores" sheetId="2" r:id="rId2"/>
  </sheets>
  <definedNames>
    <definedName name="aporte">Simulador_Financeiro!$D$17:$D$17</definedName>
    <definedName name="patrimonio">Simulador_Financeiro!$D$20:$D$20</definedName>
    <definedName name="perfil_investidor">Simulador_Financeiro!$D$32:$D$32</definedName>
    <definedName name="qtd_anos">Simulador_Financeiro!$D$18:$D$18</definedName>
    <definedName name="rendimento_carteira">Simulador_Financeiro!$D$13:$D$13</definedName>
    <definedName name="salario">Simulador_Financeiro!$D$12:$D$12</definedName>
    <definedName name="sugestao_investimento">Simulador_Financeiro!$D$14:$D$14</definedName>
    <definedName name="taxa_mensal">Simulador_Financeiro!$D$19:$D$19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H3" i="2"/>
  <c r="A16" i="2"/>
  <c r="A17" i="2"/>
  <c r="A18" i="2"/>
  <c r="A19" i="2"/>
  <c r="A20" i="2"/>
  <c r="A15" i="2"/>
  <c r="A10" i="2"/>
  <c r="A11" i="2"/>
  <c r="A12" i="2"/>
  <c r="A13" i="2"/>
  <c r="A14" i="2"/>
  <c r="A9" i="2"/>
  <c r="A8" i="2"/>
  <c r="A4" i="2"/>
  <c r="A5" i="2"/>
  <c r="A6" i="2"/>
  <c r="A7" i="2"/>
  <c r="A3" i="2"/>
  <c r="D33" i="1" a="1"/>
  <c r="D33" i="1"/>
  <c r="D20" i="1" a="1"/>
  <c r="D20" i="1"/>
  <c r="D21" i="1" s="1" a="1"/>
  <c r="D21" i="1" s="1"/>
  <c r="D14" i="1"/>
  <c r="C25" i="1"/>
  <c r="D25" i="1" s="1" a="1"/>
  <c r="D25" i="1" s="1"/>
  <c r="C26" i="1"/>
  <c r="D26" i="1" s="1" a="1"/>
  <c r="D26" i="1" s="1"/>
  <c r="C27" i="1"/>
  <c r="D27" i="1" s="1" a="1"/>
  <c r="D27" i="1" s="1"/>
  <c r="C28" i="1"/>
  <c r="D28" i="1" s="1" a="1"/>
  <c r="D28" i="1" s="1"/>
  <c r="C24" i="1"/>
  <c r="D24" i="1" s="1" a="1"/>
  <c r="D24" i="1" s="1"/>
  <c r="D37" i="1" l="1"/>
  <c r="D38" i="1"/>
  <c r="D39" i="1"/>
  <c r="D40" i="1"/>
  <c r="D41" i="1"/>
  <c r="D36" i="1"/>
  <c r="D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<sst xmlns="http://schemas.openxmlformats.org/spreadsheetml/2006/main" count="72" uniqueCount="35">
  <si>
    <t>Configurações</t>
  </si>
  <si>
    <t>Salário</t>
  </si>
  <si>
    <t>Rendimento Carteira</t>
  </si>
  <si>
    <t>Sugestão de investimento</t>
  </si>
  <si>
    <t>Investimento Mensal</t>
  </si>
  <si>
    <t>Valor do investimento mensal</t>
  </si>
  <si>
    <t>Período de investimento em anos</t>
  </si>
  <si>
    <t>Taxa de rendimento mensal</t>
  </si>
  <si>
    <t>Patrimônio acumulado</t>
  </si>
  <si>
    <t>Dividendos mensais</t>
  </si>
  <si>
    <t>Projeção de Cenários</t>
  </si>
  <si>
    <t>Patrimônio</t>
  </si>
  <si>
    <t>Dividendo</t>
  </si>
  <si>
    <t>Em 2 anos</t>
  </si>
  <si>
    <t>Em 5 anos</t>
  </si>
  <si>
    <t>Em 10 anos</t>
  </si>
  <si>
    <t>Em 20 anos</t>
  </si>
  <si>
    <t>Em 30 anos</t>
  </si>
  <si>
    <t>PERFIL</t>
  </si>
  <si>
    <t>Conservador</t>
  </si>
  <si>
    <t>VALOR DO INVESTIMENTO MENSAL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</si>
  <si>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</si>
  <si>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</si>
  <si>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</si>
  <si>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</si>
  <si>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</si>
  <si>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</si>
  <si>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</si>
  <si>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</si>
  <si>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</si>
  <si>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 COMPOSTA</t>
  </si>
  <si>
    <t>%</t>
  </si>
  <si>
    <t>Moderado - TIJOLO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</si>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</sst>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Aptos Display"/>
    </font>
    <font>
      <b/>
      <sz val="16"/>
      <color theme="0"/>
      <name val="Aptos Display"/>
    </font>
    <font>
      <b/>
      <sz val="12"/>
      <color theme="1"/>
      <name val="Aptos Display"/>
    </font>
    <font>
      <sz val="11"/>
      <color theme="0"/>
      <name val="Calibri"/>
      <family val="2"/>
      <scheme val="minor"/>
    </font>
    <font>
      <sz val="11"/>
      <color rgb="FF9C5700"/>
      <name val="Calibri"/>
      <scheme val="minor"/>
    </font>
    <font>
      <b/>
      <sz val="14"/>
      <color theme="0"/>
      <name val="Aptos Display"/>
    </font>
    <font>
      <sz val="12"/>
      <color theme="1"/>
      <name val="Calibri"/>
      <family val="2"/>
      <scheme val="minor"/>
    </font>
    <font>
      <b/>
      <sz val="11"/>
      <color theme="1"/>
      <name val="Aptos Display"/>
    </font>
    <font>
      <b/>
      <sz val="14"/>
      <color theme="1"/>
      <name val="Aptos Display"/>
    </font>
    <font>
      <b/>
      <sz val="14"/>
      <color rgb="FF000000"/>
      <name val="Aptos Display"/>
    </font>
    <font>
      <b/>
      <sz val="12"/>
      <color theme="0"/>
      <name val="Aptos Display"/>
    </font>
    <font>
      <b/>
      <sz val="12"/>
      <color theme="1" tint="0.499984740745262"/>
      <name val="Aptos Display"/>
    </font>
    <font>
      <b/>
      <sz val="11"/>
      <color rgb="FF9C57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2D8BBA"/>
        <bgColor indexed="64"/>
      </patternFill>
    </fill>
    <fill>
      <patternFill patternType="solid">
        <fgColor rgb="FF004AA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5FC8C9"/>
        <bgColor indexed="64"/>
      </patternFill>
    </fill>
    <fill>
      <patternFill patternType="solid">
        <fgColor rgb="FF51AEB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0.499984740745262"/>
      </left>
      <right/>
      <top style="thin">
        <color theme="0" tint="-0.14999847407452621"/>
      </top>
      <bottom style="medium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rgb="FF5FC8C9"/>
      </left>
      <right/>
      <top style="thin">
        <color rgb="FF5FC8C9"/>
      </top>
      <bottom style="thin">
        <color rgb="FF5FC8C9"/>
      </bottom>
      <diagonal/>
    </border>
    <border>
      <left/>
      <right/>
      <top style="thin">
        <color rgb="FF5FC8C9"/>
      </top>
      <bottom style="thin">
        <color rgb="FF5FC8C9"/>
      </bottom>
      <diagonal/>
    </border>
    <border>
      <left style="medium">
        <color rgb="FF5FC8C9"/>
      </left>
      <right style="medium">
        <color rgb="FF5FC8C9"/>
      </right>
      <top style="medium">
        <color rgb="FF5FC8C9"/>
      </top>
      <bottom style="medium">
        <color rgb="FF5FC8C9"/>
      </bottom>
      <diagonal/>
    </border>
    <border>
      <left/>
      <right/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7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56">
    <xf numFmtId="0" fontId="0" fillId="0" borderId="0" xfId="0"/>
    <xf numFmtId="0" fontId="6" fillId="0" borderId="0" xfId="0" applyFont="1"/>
    <xf numFmtId="0" fontId="0" fillId="8" borderId="0" xfId="0" applyFill="1"/>
    <xf numFmtId="164" fontId="9" fillId="0" borderId="12" xfId="0" applyNumberFormat="1" applyFont="1" applyBorder="1" applyAlignment="1">
      <alignment horizontal="center"/>
    </xf>
    <xf numFmtId="0" fontId="4" fillId="7" borderId="8" xfId="0" applyFont="1" applyFill="1" applyBorder="1" applyAlignment="1">
      <alignment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3" fillId="3" borderId="13" xfId="0" applyFont="1" applyFill="1" applyBorder="1"/>
    <xf numFmtId="0" fontId="3" fillId="3" borderId="14" xfId="0" applyFont="1" applyFill="1" applyBorder="1"/>
    <xf numFmtId="0" fontId="3" fillId="3" borderId="1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5" fillId="2" borderId="1" xfId="1" applyNumberFormat="1" applyFont="1" applyBorder="1" applyAlignment="1">
      <alignment horizontal="center"/>
    </xf>
    <xf numFmtId="164" fontId="5" fillId="2" borderId="15" xfId="1" applyNumberFormat="1" applyFont="1" applyBorder="1" applyAlignment="1">
      <alignment horizontal="center"/>
    </xf>
    <xf numFmtId="164" fontId="5" fillId="2" borderId="11" xfId="1" applyNumberFormat="1" applyFont="1" applyBorder="1" applyAlignment="1">
      <alignment horizontal="center"/>
    </xf>
    <xf numFmtId="164" fontId="5" fillId="2" borderId="12" xfId="1" applyNumberFormat="1" applyFont="1" applyBorder="1" applyAlignment="1">
      <alignment horizontal="center"/>
    </xf>
    <xf numFmtId="0" fontId="3" fillId="0" borderId="0" xfId="0" applyFont="1"/>
    <xf numFmtId="0" fontId="4" fillId="8" borderId="8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/>
    </xf>
    <xf numFmtId="0" fontId="0" fillId="0" borderId="0" xfId="0" applyBorder="1"/>
    <xf numFmtId="164" fontId="5" fillId="9" borderId="0" xfId="0" applyNumberFormat="1" applyFont="1" applyFill="1" applyAlignment="1">
      <alignment horizontal="left"/>
    </xf>
    <xf numFmtId="0" fontId="5" fillId="11" borderId="0" xfId="0" applyFont="1" applyFill="1" applyAlignment="1">
      <alignment horizontal="center"/>
    </xf>
    <xf numFmtId="0" fontId="3" fillId="11" borderId="0" xfId="0" applyFont="1" applyFill="1"/>
    <xf numFmtId="0" fontId="14" fillId="0" borderId="0" xfId="0" applyFont="1" applyAlignment="1">
      <alignment horizontal="center"/>
    </xf>
    <xf numFmtId="9" fontId="14" fillId="0" borderId="0" xfId="0" applyNumberFormat="1" applyFont="1" applyAlignment="1">
      <alignment horizontal="center"/>
    </xf>
    <xf numFmtId="164" fontId="5" fillId="11" borderId="0" xfId="0" applyNumberFormat="1" applyFont="1" applyFill="1" applyAlignment="1">
      <alignment horizontal="center"/>
    </xf>
    <xf numFmtId="0" fontId="12" fillId="10" borderId="19" xfId="4" applyFont="1" applyFill="1" applyBorder="1" applyAlignment="1">
      <alignment horizontal="left"/>
    </xf>
    <xf numFmtId="0" fontId="12" fillId="10" borderId="20" xfId="4" applyFont="1" applyFill="1" applyBorder="1" applyAlignment="1">
      <alignment horizontal="left"/>
    </xf>
    <xf numFmtId="0" fontId="11" fillId="10" borderId="21" xfId="4" applyFont="1" applyFill="1" applyBorder="1" applyAlignment="1">
      <alignment horizontal="left"/>
    </xf>
    <xf numFmtId="164" fontId="14" fillId="12" borderId="0" xfId="0" applyNumberFormat="1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4" fillId="0" borderId="22" xfId="0" applyFont="1" applyBorder="1" applyAlignment="1">
      <alignment horizontal="center"/>
    </xf>
    <xf numFmtId="9" fontId="14" fillId="0" borderId="22" xfId="0" applyNumberFormat="1" applyFont="1" applyBorder="1" applyAlignment="1">
      <alignment horizontal="center"/>
    </xf>
    <xf numFmtId="0" fontId="15" fillId="4" borderId="0" xfId="2" applyFont="1" applyAlignment="1">
      <alignment horizontal="center"/>
    </xf>
    <xf numFmtId="0" fontId="1" fillId="5" borderId="0" xfId="3" applyAlignment="1">
      <alignment horizontal="center"/>
    </xf>
    <xf numFmtId="0" fontId="5" fillId="14" borderId="5" xfId="0" applyFont="1" applyFill="1" applyBorder="1" applyAlignment="1">
      <alignment horizontal="left"/>
    </xf>
    <xf numFmtId="0" fontId="5" fillId="14" borderId="23" xfId="0" applyFont="1" applyFill="1" applyBorder="1" applyAlignment="1">
      <alignment horizontal="left"/>
    </xf>
    <xf numFmtId="8" fontId="5" fillId="2" borderId="6" xfId="1" applyNumberFormat="1" applyFont="1" applyBorder="1" applyAlignment="1">
      <alignment horizontal="center"/>
    </xf>
    <xf numFmtId="0" fontId="5" fillId="14" borderId="2" xfId="0" applyFont="1" applyFill="1" applyBorder="1" applyAlignment="1">
      <alignment horizontal="left"/>
    </xf>
    <xf numFmtId="0" fontId="5" fillId="14" borderId="4" xfId="0" applyFont="1" applyFill="1" applyBorder="1" applyAlignment="1">
      <alignment horizontal="left"/>
    </xf>
    <xf numFmtId="8" fontId="10" fillId="2" borderId="3" xfId="1" applyNumberFormat="1" applyFont="1" applyBorder="1" applyAlignment="1">
      <alignment horizontal="center"/>
    </xf>
    <xf numFmtId="0" fontId="3" fillId="3" borderId="24" xfId="0" applyFont="1" applyFill="1" applyBorder="1" applyAlignment="1">
      <alignment horizontal="left"/>
    </xf>
    <xf numFmtId="0" fontId="3" fillId="3" borderId="25" xfId="0" applyFont="1" applyFill="1" applyBorder="1" applyAlignment="1">
      <alignment horizontal="left"/>
    </xf>
    <xf numFmtId="10" fontId="3" fillId="0" borderId="26" xfId="0" applyNumberFormat="1" applyFont="1" applyBorder="1" applyAlignment="1">
      <alignment horizontal="center"/>
    </xf>
    <xf numFmtId="10" fontId="9" fillId="0" borderId="11" xfId="0" applyNumberFormat="1" applyFont="1" applyBorder="1" applyAlignment="1">
      <alignment horizontal="center"/>
    </xf>
  </cellXfs>
  <cellStyles count="5">
    <cellStyle name="20% - Ênfase4" xfId="3" builtinId="42"/>
    <cellStyle name="40% - Ênfase1" xfId="1" builtinId="31"/>
    <cellStyle name="60% - Ênfase5" xfId="4" builtinId="48"/>
    <cellStyle name="Neutro" xfId="2" builtinId="28"/>
    <cellStyle name="Normal" xfId="0" builtinId="0"/>
  </cellStyles>
  <dxfs count="0"/>
  <tableStyles count="0" defaultTableStyle="TableStyleMedium2" defaultPivotStyle="PivotStyleMedium9"/>
  <colors>
    <mruColors>
      <color rgb="FF5FC8C9"/>
      <color rgb="FF51AEB0"/>
      <color rgb="FFA9D4D4"/>
      <color rgb="FFCCFFFF"/>
      <color rgb="FF6CE5E8"/>
      <color rgb="FFE6FFFF"/>
      <color rgb="FF0BB0B3"/>
      <color rgb="FF2D8BBA"/>
      <color rgb="FF41B8D5"/>
      <color rgb="FF004A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Simulador_Financeiro!$B$36:$B$41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Simulador_Financeiro!$C$36:$C$41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A-43C0-998E-844C58724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133350</xdr:rowOff>
    </xdr:from>
    <xdr:to>
      <xdr:col>2</xdr:col>
      <xdr:colOff>704850</xdr:colOff>
      <xdr:row>8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0E34C2-1293-2762-F706-9C4EE562C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8370" b="14222"/>
        <a:stretch>
          <a:fillRect/>
        </a:stretch>
      </xdr:blipFill>
      <xdr:spPr>
        <a:xfrm>
          <a:off x="9525" y="133350"/>
          <a:ext cx="4495800" cy="1524000"/>
        </a:xfrm>
        <a:prstGeom prst="rect">
          <a:avLst/>
        </a:prstGeom>
      </xdr:spPr>
    </xdr:pic>
    <xdr:clientData/>
  </xdr:twoCellAnchor>
  <xdr:twoCellAnchor>
    <xdr:from>
      <xdr:col>1</xdr:col>
      <xdr:colOff>1343025</xdr:colOff>
      <xdr:row>43</xdr:row>
      <xdr:rowOff>180975</xdr:rowOff>
    </xdr:from>
    <xdr:to>
      <xdr:col>3</xdr:col>
      <xdr:colOff>552450</xdr:colOff>
      <xdr:row>60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DCFECA-60BB-A1F6-F295-51B010DAA9E4}"/>
            </a:ext>
            <a:ext uri="{147F2762-F138-4A5C-976F-8EAC2B608ADB}">
              <a16:predDERef xmlns:a16="http://schemas.microsoft.com/office/drawing/2014/main" pred="{F50E34C2-1293-2762-F706-9C4EE562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showGridLines="0" tabSelected="1" workbookViewId="0">
      <selection activeCell="D58" sqref="D58"/>
    </sheetView>
  </sheetViews>
  <sheetFormatPr defaultColWidth="9.140625" defaultRowHeight="15"/>
  <cols>
    <col min="1" max="1" width="4" customWidth="1"/>
    <col min="2" max="2" width="53" customWidth="1"/>
    <col min="3" max="3" width="42.85546875" customWidth="1"/>
    <col min="4" max="4" width="27.85546875" customWidth="1"/>
    <col min="5" max="5" width="3.85546875" customWidth="1"/>
    <col min="6" max="6" width="18.7109375" hidden="1" customWidth="1"/>
    <col min="7" max="7" width="16" hidden="1" customWidth="1"/>
    <col min="8" max="11" width="9.140625" hidden="1" customWidth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>
      <c r="B10" s="25"/>
      <c r="C10" s="25"/>
      <c r="D10" s="25"/>
    </row>
    <row r="11" spans="1:11" ht="21">
      <c r="B11" s="26" t="s">
        <v>0</v>
      </c>
      <c r="C11" s="27"/>
      <c r="D11" s="28"/>
    </row>
    <row r="12" spans="1:11" ht="15.75">
      <c r="B12" s="9" t="s">
        <v>1</v>
      </c>
      <c r="C12" s="10"/>
      <c r="D12" s="18">
        <v>4200</v>
      </c>
    </row>
    <row r="13" spans="1:11" ht="15.75">
      <c r="B13" s="11" t="s">
        <v>2</v>
      </c>
      <c r="C13" s="12"/>
      <c r="D13" s="55">
        <v>6.0000000000000001E-3</v>
      </c>
    </row>
    <row r="14" spans="1:11" ht="15.75">
      <c r="B14" s="13" t="s">
        <v>3</v>
      </c>
      <c r="C14" s="14"/>
      <c r="D14" s="3">
        <f>D12*30%</f>
        <v>1260</v>
      </c>
    </row>
    <row r="15" spans="1:11" ht="15.75">
      <c r="B15" s="25"/>
      <c r="C15" s="25"/>
      <c r="D15" s="25"/>
    </row>
    <row r="16" spans="1:11" ht="24" customHeight="1">
      <c r="B16" s="15" t="s">
        <v>4</v>
      </c>
      <c r="C16" s="16"/>
      <c r="D16" s="17"/>
    </row>
    <row r="17" spans="1:15" ht="15.75">
      <c r="B17" s="9" t="s">
        <v>5</v>
      </c>
      <c r="C17" s="10"/>
      <c r="D17" s="19">
        <v>1260</v>
      </c>
      <c r="O17" s="30"/>
    </row>
    <row r="18" spans="1:15" ht="15.75">
      <c r="B18" s="11" t="s">
        <v>6</v>
      </c>
      <c r="C18" s="12"/>
      <c r="D18" s="20">
        <v>10</v>
      </c>
    </row>
    <row r="19" spans="1:15" ht="15.75">
      <c r="B19" s="52" t="s">
        <v>7</v>
      </c>
      <c r="C19" s="53"/>
      <c r="D19" s="54">
        <v>1.0789999999999999E-2</v>
      </c>
    </row>
    <row r="20" spans="1:15" ht="15.75">
      <c r="B20" s="46" t="s">
        <v>8</v>
      </c>
      <c r="C20" s="47"/>
      <c r="D20" s="48" cm="1">
        <f t="array" ref="D20">FV(taxa_mensal,qtd_anos*12,aporte*-1)</f>
        <v>306538.10778801696</v>
      </c>
    </row>
    <row r="21" spans="1:15" ht="15.75">
      <c r="B21" s="49" t="s">
        <v>9</v>
      </c>
      <c r="C21" s="50"/>
      <c r="D21" s="51" cm="1">
        <f t="array" ref="D21">patrimonio*rendimento_carteira</f>
        <v>1839.2286467281017</v>
      </c>
    </row>
    <row r="22" spans="1:15" ht="15.75">
      <c r="B22" s="25"/>
      <c r="C22" s="25"/>
      <c r="D22" s="25"/>
    </row>
    <row r="23" spans="1:15" ht="21">
      <c r="B23" s="4" t="s">
        <v>10</v>
      </c>
      <c r="C23" s="5" t="s">
        <v>11</v>
      </c>
      <c r="D23" s="6" t="s">
        <v>12</v>
      </c>
    </row>
    <row r="24" spans="1:15" ht="15.75">
      <c r="A24" s="1">
        <v>2</v>
      </c>
      <c r="B24" s="7" t="s">
        <v>13</v>
      </c>
      <c r="C24" s="21">
        <f>FV($D$19,$A24*12,$D$17*-1)</f>
        <v>34306.810395032975</v>
      </c>
      <c r="D24" s="23" cm="1">
        <f t="array" ref="D24">C24*rendimento_carteira</f>
        <v>205.84086237019787</v>
      </c>
    </row>
    <row r="25" spans="1:15" ht="15.75">
      <c r="A25" s="1">
        <v>5</v>
      </c>
      <c r="B25" s="7" t="s">
        <v>14</v>
      </c>
      <c r="C25" s="21">
        <f>FV($D$19,$A25*12,$D$17*-1)</f>
        <v>105558.91163809443</v>
      </c>
      <c r="D25" s="23" cm="1">
        <f t="array" ref="D25">C25*rendimento_carteira</f>
        <v>633.35346982856663</v>
      </c>
    </row>
    <row r="26" spans="1:15" ht="15.75">
      <c r="A26" s="1">
        <v>10</v>
      </c>
      <c r="B26" s="7" t="s">
        <v>15</v>
      </c>
      <c r="C26" s="21">
        <f>FV($D$19,$A26*12,$D$17*-1)</f>
        <v>306538.10778801696</v>
      </c>
      <c r="D26" s="23" cm="1">
        <f t="array" ref="D26">C26*rendimento_carteira</f>
        <v>1839.2286467281017</v>
      </c>
    </row>
    <row r="27" spans="1:15" ht="15.75">
      <c r="A27" s="1">
        <v>20</v>
      </c>
      <c r="B27" s="7" t="s">
        <v>16</v>
      </c>
      <c r="C27" s="21">
        <f>FV($D$19,$A27*12,$D$17*-1)</f>
        <v>1417749.9841223215</v>
      </c>
      <c r="D27" s="23" cm="1">
        <f t="array" ref="D27">C27*rendimento_carteira</f>
        <v>8506.4999047339297</v>
      </c>
    </row>
    <row r="28" spans="1:15" ht="15.75">
      <c r="A28" s="1">
        <v>30</v>
      </c>
      <c r="B28" s="8" t="s">
        <v>17</v>
      </c>
      <c r="C28" s="22">
        <f>FV($D$19,$A28*12,$D$17*-1)</f>
        <v>5445933.7653059401</v>
      </c>
      <c r="D28" s="24" cm="1">
        <f t="array" ref="D28">C28*rendimento_carteira</f>
        <v>32675.602591835643</v>
      </c>
    </row>
    <row r="29" spans="1:15" ht="15.75">
      <c r="B29" s="25"/>
      <c r="C29" s="25"/>
      <c r="D29" s="25"/>
    </row>
    <row r="30" spans="1:15" ht="15.75">
      <c r="B30" s="25"/>
      <c r="C30" s="25"/>
      <c r="D30" s="25"/>
    </row>
    <row r="31" spans="1:15" ht="15.75">
      <c r="B31" s="25"/>
      <c r="C31" s="25"/>
      <c r="D31" s="25"/>
    </row>
    <row r="32" spans="1:15" ht="18.75">
      <c r="B32" s="37" t="s">
        <v>18</v>
      </c>
      <c r="C32" s="38"/>
      <c r="D32" s="39" t="s">
        <v>19</v>
      </c>
    </row>
    <row r="33" spans="2:4" ht="15.75">
      <c r="B33" s="29" t="s">
        <v>20</v>
      </c>
      <c r="C33" s="29"/>
      <c r="D33" s="31" cm="1">
        <f t="array" ref="D33">aporte</f>
        <v>1260</v>
      </c>
    </row>
    <row r="34" spans="2:4" ht="15.75">
      <c r="B34" s="25"/>
      <c r="C34" s="25"/>
      <c r="D34" s="25"/>
    </row>
    <row r="35" spans="2:4" ht="15.75">
      <c r="B35" s="32" t="s">
        <v>21</v>
      </c>
      <c r="C35" s="32" t="s">
        <v>22</v>
      </c>
      <c r="D35" s="32" t="s">
        <v>23</v>
      </c>
    </row>
    <row r="36" spans="2:4" ht="15.75">
      <c r="B36" s="34" t="s">
        <v>24</v>
      </c>
      <c r="C36" s="35" cm="1">
        <f t="array" ref="C36">VLOOKUP(perfil_investidor&amp;" - "&amp;B36,Perfil_Investidores!$A:$D,4,FALSE)</f>
        <v>0.3</v>
      </c>
      <c r="D36" s="40">
        <f>C36*$D$33</f>
        <v>378</v>
      </c>
    </row>
    <row r="37" spans="2:4" ht="15.75">
      <c r="B37" s="34" t="s">
        <v>25</v>
      </c>
      <c r="C37" s="35" cm="1">
        <f t="array" ref="C37">VLOOKUP(perfil_investidor&amp;" - "&amp;B37,Perfil_Investidores!$A:$D,4,FALSE)</f>
        <v>0.5</v>
      </c>
      <c r="D37" s="40">
        <f t="shared" ref="D37:D41" si="0">C37*$D$33</f>
        <v>630</v>
      </c>
    </row>
    <row r="38" spans="2:4" ht="15.75">
      <c r="B38" s="34" t="s">
        <v>26</v>
      </c>
      <c r="C38" s="35" cm="1">
        <f t="array" ref="C38">VLOOKUP(perfil_investidor&amp;" - "&amp;B38,Perfil_Investidores!$A:$D,4,FALSE)</f>
        <v>0.1</v>
      </c>
      <c r="D38" s="40">
        <f t="shared" si="0"/>
        <v>126</v>
      </c>
    </row>
    <row r="39" spans="2:4" ht="15.75">
      <c r="B39" s="34" t="s">
        <v>27</v>
      </c>
      <c r="C39" s="35" cm="1">
        <f t="array" ref="C39">VLOOKUP(perfil_investidor&amp;" - "&amp;B39,Perfil_Investidores!$A:$D,4,FALSE)</f>
        <v>0.1</v>
      </c>
      <c r="D39" s="40">
        <f t="shared" si="0"/>
        <v>126</v>
      </c>
    </row>
    <row r="40" spans="2:4" ht="15.75">
      <c r="B40" s="34" t="s">
        <v>28</v>
      </c>
      <c r="C40" s="35" cm="1">
        <f t="array" ref="C40">VLOOKUP(perfil_investidor&amp;" - "&amp;B40,Perfil_Investidores!$A:$D,4,FALSE)</f>
        <v>0</v>
      </c>
      <c r="D40" s="40">
        <f t="shared" si="0"/>
        <v>0</v>
      </c>
    </row>
    <row r="41" spans="2:4" ht="15.75">
      <c r="B41" s="34" t="s">
        <v>29</v>
      </c>
      <c r="C41" s="35" cm="1">
        <f t="array" ref="C41">VLOOKUP(perfil_investidor&amp;" - "&amp;B41,Perfil_Investidores!$A:$D,4,FALSE)</f>
        <v>0</v>
      </c>
      <c r="D41" s="40">
        <f t="shared" si="0"/>
        <v>0</v>
      </c>
    </row>
    <row r="42" spans="2:4" ht="15.75">
      <c r="B42" s="33"/>
      <c r="C42" s="33"/>
      <c r="D42" s="36">
        <f>SUM(D36:D41)</f>
        <v>1260</v>
      </c>
    </row>
    <row r="43" spans="2:4" ht="15.75">
      <c r="B43" s="25"/>
      <c r="C43" s="25"/>
      <c r="D43" s="25"/>
    </row>
    <row r="44" spans="2:4" ht="15.75">
      <c r="B44" s="25"/>
      <c r="C44" s="25"/>
      <c r="D44" s="25"/>
    </row>
    <row r="45" spans="2:4" ht="15.75">
      <c r="B45" s="25"/>
      <c r="C45" s="25"/>
      <c r="D45" s="25"/>
    </row>
    <row r="46" spans="2:4" ht="15.75">
      <c r="B46" s="25"/>
      <c r="C46" s="25"/>
      <c r="D46" s="25"/>
    </row>
    <row r="47" spans="2:4" ht="15.75">
      <c r="B47" s="25"/>
      <c r="C47" s="25"/>
      <c r="D47" s="25"/>
    </row>
    <row r="48" spans="2:4" ht="15.75">
      <c r="B48" s="25"/>
      <c r="C48" s="25"/>
      <c r="D48" s="25"/>
    </row>
    <row r="49" spans="2:4" ht="15.75">
      <c r="B49" s="25"/>
      <c r="C49" s="25"/>
      <c r="D49" s="25"/>
    </row>
    <row r="50" spans="2:4" ht="15.75">
      <c r="B50" s="25"/>
      <c r="C50" s="25"/>
      <c r="D50" s="25"/>
    </row>
    <row r="51" spans="2:4" ht="15.75">
      <c r="B51" s="25"/>
      <c r="C51" s="25"/>
      <c r="D51" s="25"/>
    </row>
    <row r="52" spans="2:4" ht="15.75">
      <c r="B52" s="25"/>
      <c r="C52" s="25"/>
      <c r="D52" s="25"/>
    </row>
    <row r="53" spans="2:4" ht="15.75">
      <c r="B53" s="25"/>
      <c r="C53" s="25"/>
      <c r="D53" s="25"/>
    </row>
    <row r="54" spans="2:4" ht="15.75">
      <c r="B54" s="25"/>
      <c r="C54" s="25"/>
      <c r="D54" s="25"/>
    </row>
    <row r="55" spans="2:4" ht="15.75">
      <c r="B55" s="25"/>
      <c r="C55" s="25"/>
      <c r="D55" s="25"/>
    </row>
  </sheetData>
  <mergeCells count="12">
    <mergeCell ref="B32:C32"/>
    <mergeCell ref="B33:C33"/>
    <mergeCell ref="B17:C17"/>
    <mergeCell ref="B18:C18"/>
    <mergeCell ref="B19:C19"/>
    <mergeCell ref="B20:C20"/>
    <mergeCell ref="B21:C21"/>
    <mergeCell ref="B12:C12"/>
    <mergeCell ref="B13:C13"/>
    <mergeCell ref="B14:C14"/>
    <mergeCell ref="B16:D16"/>
    <mergeCell ref="B11:D11"/>
  </mergeCells>
  <dataValidations count="5">
    <dataValidation allowBlank="1" showInputMessage="1" showErrorMessage="1" promptTitle="Investimento Mensal" prompt="Insira o valor de investimento mensal" sqref="D17" xr:uid="{034FD366-6DEE-47BA-B7BB-B5C355449721}"/>
    <dataValidation allowBlank="1" showInputMessage="1" showErrorMessage="1" promptTitle="Período de Investimento" prompt="Insira quantos anos de investimento" sqref="D18" xr:uid="{032AE181-F429-4F06-8A94-D3510FD86519}"/>
    <dataValidation allowBlank="1" showInputMessage="1" showErrorMessage="1" promptTitle="Taxa de Rendimento Mensal" prompt="Insira a taxa de rendimento mensal" sqref="D19" xr:uid="{E27AC45D-33A3-48D4-9DAD-1D2FDE687BC5}"/>
    <dataValidation allowBlank="1" showInputMessage="1" showErrorMessage="1" sqref="C24:C28 D12:D14" xr:uid="{C5E5E04D-F31F-4691-A27E-052E03B61F45}"/>
    <dataValidation type="list" showInputMessage="1" showErrorMessage="1" sqref="D32" xr:uid="{6E64D702-3F4B-49DA-B14F-FF74957920D3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8BAC-D518-47EA-9D7A-555EE59C4492}">
  <dimension ref="A2:H20"/>
  <sheetViews>
    <sheetView workbookViewId="0">
      <selection activeCell="E13" sqref="E13"/>
    </sheetView>
  </sheetViews>
  <sheetFormatPr defaultRowHeight="15"/>
  <cols>
    <col min="1" max="1" width="36.7109375" bestFit="1" customWidth="1"/>
    <col min="2" max="2" width="14" bestFit="1" customWidth="1"/>
    <col min="3" max="3" width="22" bestFit="1" customWidth="1"/>
    <col min="7" max="7" width="18.5703125" bestFit="1" customWidth="1"/>
  </cols>
  <sheetData>
    <row r="2" spans="1:8" ht="15.75">
      <c r="A2" s="41" t="s">
        <v>30</v>
      </c>
      <c r="B2" s="41" t="s">
        <v>18</v>
      </c>
      <c r="C2" s="41" t="s">
        <v>21</v>
      </c>
      <c r="D2" s="41" t="s">
        <v>31</v>
      </c>
      <c r="G2" s="45"/>
      <c r="H2" s="45" t="s">
        <v>31</v>
      </c>
    </row>
    <row r="3" spans="1:8" ht="15.75">
      <c r="A3" s="34" t="str">
        <f>$B$3&amp;" - "&amp;C3</f>
        <v>Conservador - PAPEL</v>
      </c>
      <c r="B3" s="34" t="s">
        <v>19</v>
      </c>
      <c r="C3" s="34" t="s">
        <v>24</v>
      </c>
      <c r="D3" s="35">
        <v>0.3</v>
      </c>
      <c r="G3" s="44" t="s">
        <v>32</v>
      </c>
      <c r="H3" s="44">
        <f>VLOOKUP(G3,$A:$D,4,FALSE)</f>
        <v>0.35</v>
      </c>
    </row>
    <row r="4" spans="1:8" ht="15.75">
      <c r="A4" s="34" t="str">
        <f t="shared" ref="A4:A8" si="0">$B$3&amp;" - "&amp;C4</f>
        <v>Conservador - TIJOLO</v>
      </c>
      <c r="B4" s="34" t="s">
        <v>19</v>
      </c>
      <c r="C4" s="34" t="s">
        <v>25</v>
      </c>
      <c r="D4" s="35">
        <v>0.5</v>
      </c>
    </row>
    <row r="5" spans="1:8" ht="15.75">
      <c r="A5" s="34" t="str">
        <f t="shared" si="0"/>
        <v>Conservador - HÍBRIDOS</v>
      </c>
      <c r="B5" s="34" t="s">
        <v>19</v>
      </c>
      <c r="C5" s="34" t="s">
        <v>26</v>
      </c>
      <c r="D5" s="35">
        <v>0.1</v>
      </c>
      <c r="E5" s="34"/>
      <c r="F5" s="34"/>
    </row>
    <row r="6" spans="1:8" ht="15.75">
      <c r="A6" s="34" t="str">
        <f t="shared" si="0"/>
        <v>Conservador - FOFs</v>
      </c>
      <c r="B6" s="34" t="s">
        <v>19</v>
      </c>
      <c r="C6" s="34" t="s">
        <v>27</v>
      </c>
      <c r="D6" s="35">
        <v>0.1</v>
      </c>
    </row>
    <row r="7" spans="1:8" ht="15.75">
      <c r="A7" s="34" t="str">
        <f t="shared" si="0"/>
        <v>Conservador - DESENVOLVIMENTO</v>
      </c>
      <c r="B7" s="34" t="s">
        <v>19</v>
      </c>
      <c r="C7" s="34" t="s">
        <v>28</v>
      </c>
      <c r="D7" s="35">
        <v>0</v>
      </c>
    </row>
    <row r="8" spans="1:8" ht="15.75">
      <c r="A8" s="42" t="str">
        <f>$B$3&amp;" - "&amp;C8</f>
        <v>Conservador - HOTELARIAS</v>
      </c>
      <c r="B8" s="42" t="s">
        <v>19</v>
      </c>
      <c r="C8" s="42" t="s">
        <v>29</v>
      </c>
      <c r="D8" s="43">
        <v>0</v>
      </c>
    </row>
    <row r="9" spans="1:8" ht="15.75">
      <c r="A9" s="34" t="str">
        <f>$B$9&amp;" - "&amp;C9</f>
        <v>Moderado - PAPEL</v>
      </c>
      <c r="B9" s="34" t="s">
        <v>33</v>
      </c>
      <c r="C9" s="34" t="s">
        <v>24</v>
      </c>
      <c r="D9" s="35">
        <v>0.32</v>
      </c>
    </row>
    <row r="10" spans="1:8" ht="15.75">
      <c r="A10" s="34" t="str">
        <f t="shared" ref="A10:A14" si="1">$B$9&amp;" - "&amp;C10</f>
        <v>Moderado - TIJOLO</v>
      </c>
      <c r="B10" s="34" t="s">
        <v>33</v>
      </c>
      <c r="C10" s="34" t="s">
        <v>25</v>
      </c>
      <c r="D10" s="35">
        <v>0.35</v>
      </c>
    </row>
    <row r="11" spans="1:8" ht="15.75">
      <c r="A11" s="34" t="str">
        <f t="shared" si="1"/>
        <v>Moderado - HÍBRIDOS</v>
      </c>
      <c r="B11" s="34" t="s">
        <v>33</v>
      </c>
      <c r="C11" s="34" t="s">
        <v>26</v>
      </c>
      <c r="D11" s="35">
        <v>0.08</v>
      </c>
    </row>
    <row r="12" spans="1:8" ht="15.75">
      <c r="A12" s="34" t="str">
        <f t="shared" si="1"/>
        <v>Moderado - FOFs</v>
      </c>
      <c r="B12" s="34" t="s">
        <v>33</v>
      </c>
      <c r="C12" s="34" t="s">
        <v>27</v>
      </c>
      <c r="D12" s="35">
        <v>0.05</v>
      </c>
    </row>
    <row r="13" spans="1:8" ht="15.75">
      <c r="A13" s="34" t="str">
        <f t="shared" si="1"/>
        <v>Moderado - DESENVOLVIMENTO</v>
      </c>
      <c r="B13" s="34" t="s">
        <v>33</v>
      </c>
      <c r="C13" s="34" t="s">
        <v>28</v>
      </c>
      <c r="D13" s="35">
        <v>0.1</v>
      </c>
    </row>
    <row r="14" spans="1:8" ht="15.75">
      <c r="A14" s="42" t="str">
        <f t="shared" si="1"/>
        <v>Moderado - HOTELARIAS</v>
      </c>
      <c r="B14" s="42" t="s">
        <v>33</v>
      </c>
      <c r="C14" s="42" t="s">
        <v>29</v>
      </c>
      <c r="D14" s="43">
        <v>0.1</v>
      </c>
    </row>
    <row r="15" spans="1:8" ht="15.75">
      <c r="A15" s="34" t="str">
        <f>$B$15&amp;" - "&amp;C15</f>
        <v>Agressivo - PAPEL</v>
      </c>
      <c r="B15" s="34" t="s">
        <v>34</v>
      </c>
      <c r="C15" s="34" t="s">
        <v>24</v>
      </c>
      <c r="D15" s="35">
        <v>0.5</v>
      </c>
    </row>
    <row r="16" spans="1:8" ht="15.75">
      <c r="A16" s="34" t="str">
        <f t="shared" ref="A16:A20" si="2">$B$15&amp;" - "&amp;C16</f>
        <v>Agressivo - TIJOLO</v>
      </c>
      <c r="B16" s="34" t="s">
        <v>34</v>
      </c>
      <c r="C16" s="34" t="s">
        <v>25</v>
      </c>
      <c r="D16" s="35">
        <v>0.1</v>
      </c>
    </row>
    <row r="17" spans="1:4" ht="15.75">
      <c r="A17" s="34" t="str">
        <f t="shared" si="2"/>
        <v>Agressivo - HÍBRIDOS</v>
      </c>
      <c r="B17" s="34" t="s">
        <v>34</v>
      </c>
      <c r="C17" s="34" t="s">
        <v>26</v>
      </c>
      <c r="D17" s="35">
        <v>0.05</v>
      </c>
    </row>
    <row r="18" spans="1:4" ht="15.75">
      <c r="A18" s="34" t="str">
        <f t="shared" si="2"/>
        <v>Agressivo - FOFs</v>
      </c>
      <c r="B18" s="34" t="s">
        <v>34</v>
      </c>
      <c r="C18" s="34" t="s">
        <v>27</v>
      </c>
      <c r="D18" s="35">
        <v>0.05</v>
      </c>
    </row>
    <row r="19" spans="1:4" ht="15.75">
      <c r="A19" s="34" t="str">
        <f t="shared" si="2"/>
        <v>Agressivo - DESENVOLVIMENTO</v>
      </c>
      <c r="B19" s="34" t="s">
        <v>34</v>
      </c>
      <c r="C19" s="34" t="s">
        <v>28</v>
      </c>
      <c r="D19" s="35">
        <v>0.2</v>
      </c>
    </row>
    <row r="20" spans="1:4" ht="15.75">
      <c r="A20" s="34" t="str">
        <f t="shared" si="2"/>
        <v>Agressivo - HOTELARIAS</v>
      </c>
      <c r="B20" s="34" t="s">
        <v>34</v>
      </c>
      <c r="C20" s="34" t="s">
        <v>29</v>
      </c>
      <c r="D20" s="3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2026-01-09T14:40:59Z</dcterms:created>
  <dcterms:modified xsi:type="dcterms:W3CDTF">2026-01-09T20:20:12Z</dcterms:modified>
  <cp:category/>
  <cp:contentStatus/>
</cp:coreProperties>
</file>